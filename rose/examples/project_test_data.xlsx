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7d7dbc9fa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数据" sheetId="1" r:id="R75550053255945c8"/>
    <x:sheet xmlns:r="http://schemas.openxmlformats.org/officeDocument/2006/relationships" name="统计检查" sheetId="2" r:id="Rfdea6a6a9841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bottom style="thin">
        <x:color rgb="FFD9E2E3"/>
      </x:bottom>
    </x:border>
    <x:border>
      <x:top style="thin">
        <x:color rgb="FFD9E2E3"/>
      </x:top>
      <x:bottom style="thin">
        <x:color rgb="FFD9E2E3"/>
      </x:bottom>
    </x:border>
    <x:border>
      <x:top style="thin">
        <x:color rgb="FFD9E2E3"/>
      </x:top>
      <x:bottom style="thin">
        <x:color rgb="FFCBD5E1"/>
      </x:bottom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  <x:dxf>
      <x:font>
        <x:b/>
        <x:color rgb="FF6B21A8"/>
      </x:font>
      <x:fill>
        <x:patternFill patternType="solid">
          <x:bgColor rgb="FFF3E8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0492e277d4fab" /><Relationship Type="http://schemas.openxmlformats.org/officeDocument/2006/relationships/theme" Target="/xl/theme/theme1.xml" Id="Ra3aa2a78ce9e41db" /><Relationship Type="http://schemas.openxmlformats.org/officeDocument/2006/relationships/sharedStrings" Target="/xl/sharedStrings.xml" Id="Rdb5d75d859d140c7" /><Relationship Type="http://schemas.openxmlformats.org/officeDocument/2006/relationships/worksheet" Target="/xl/worksheets/sheet1.xml" Id="R75550053255945c8" /><Relationship Type="http://schemas.openxmlformats.org/officeDocument/2006/relationships/worksheet" Target="/xl/worksheets/sheet2.xml" Id="Rfdea6a6a98414a7f" /></Relationships>
</file>

<file path=xl/tables/table1.xml><?xml version="1.0" encoding="utf-8"?>
<x:table xmlns:x="http://schemas.openxmlformats.org/spreadsheetml/2006/main" id="1" name="ProjectDataTable" displayName="ProjectDataTable" ref="A1:K25" headerRowCount="1" totalsRowCount="0" totalsRowShown="0">
  <x:tableColumns count="11">
    <x:tableColumn id="1" name="项目编号"/>
    <x:tableColumn id="2" name="项目名称"/>
    <x:tableColumn id="3" name="开发类别"/>
    <x:tableColumn id="4" name="状态"/>
    <x:tableColumn id="5" name="负责人"/>
    <x:tableColumn id="6" name="开始日期"/>
    <x:tableColumn id="7" name="计划完成日期"/>
    <x:tableColumn id="8" name="进度"/>
    <x:tableColumn id="9" name="预算(万元)"/>
    <x:tableColumn id="10" name="计划工期(天)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a61c61d9c348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20" hidden="0" customWidth="1"/>
  </x:cols>
  <x:sheetData>
    <x:row r="1" ht="28" customHeight="1">
      <x:c r="A1" s="10" t="str">
        <x:v>项目编号</x:v>
      </x:c>
      <x:c r="B1" s="10" t="str">
        <x:v>项目名称</x:v>
      </x:c>
      <x:c r="C1" s="10" t="str">
        <x:v>开发类别</x:v>
      </x:c>
      <x:c r="D1" s="10" t="str">
        <x:v>状态</x:v>
      </x:c>
      <x:c r="E1" s="10" t="str">
        <x:v>负责人</x:v>
      </x:c>
      <x:c r="F1" s="10" t="str">
        <x:v>开始日期</x:v>
      </x:c>
      <x:c r="G1" s="10" t="str">
        <x:v>计划完成日期</x:v>
      </x:c>
      <x:c r="H1" s="10" t="str">
        <x:v>进度</x:v>
      </x:c>
      <x:c r="I1" s="10" t="str">
        <x:v>预算(万元)</x:v>
      </x:c>
      <x:c r="J1" s="10" t="str">
        <x:v>计划工期(天)</x:v>
      </x:c>
      <x:c r="K1" s="10" t="str">
        <x:v>备注</x:v>
      </x:c>
    </x:row>
    <x:row r="2">
      <x:c r="A2" s="11" t="str">
        <x:v>P2026-001</x:v>
      </x:c>
      <x:c r="B2" s="11" t="str">
        <x:v>设备联网平台</x:v>
      </x:c>
      <x:c r="C2" s="11" t="str">
        <x:v>软件开发</x:v>
      </x:c>
      <x:c r="D2" s="11" t="str">
        <x:v>On-going</x:v>
      </x:c>
      <x:c r="E2" s="11" t="str">
        <x:v>张伟</x:v>
      </x:c>
      <x:c r="F2" s="12" t="n">
        <x:v>46027</x:v>
      </x:c>
      <x:c r="G2" s="12" t="n">
        <x:v>46142</x:v>
      </x:c>
      <x:c r="H2" s="13" t="n">
        <x:v>0.72</x:v>
      </x:c>
      <x:c r="I2" s="14" t="n">
        <x:v>85</x:v>
      </x:c>
      <x:c r="J2" s="15" t="n">
        <x:f>G2-F2+1</x:f>
        <x:v>116</x:v>
      </x:c>
      <x:c r="K2" s="11" t="str">
        <x:v>接口联调中</x:v>
      </x:c>
    </x:row>
    <x:row r="3">
      <x:c r="A3" s="11" t="str">
        <x:v>P2026-002</x:v>
      </x:c>
      <x:c r="B3" s="11" t="str">
        <x:v>质量追溯模块</x:v>
      </x:c>
      <x:c r="C3" s="11" t="str">
        <x:v>软件开发</x:v>
      </x:c>
      <x:c r="D3" s="11" t="str">
        <x:v>Done</x:v>
      </x:c>
      <x:c r="E3" s="11" t="str">
        <x:v>李娜</x:v>
      </x:c>
      <x:c r="F3" s="12" t="n">
        <x:v>46030</x:v>
      </x:c>
      <x:c r="G3" s="12" t="n">
        <x:v>46101</x:v>
      </x:c>
      <x:c r="H3" s="13" t="n">
        <x:v>1</x:v>
      </x:c>
      <x:c r="I3" s="14" t="n">
        <x:v>48</x:v>
      </x:c>
      <x:c r="J3" s="15" t="n">
        <x:f>G3-F3+1</x:f>
        <x:v>72</x:v>
      </x:c>
      <x:c r="K3" s="11" t="str">
        <x:v>已验收</x:v>
      </x:c>
    </x:row>
    <x:row r="4">
      <x:c r="A4" s="11" t="str">
        <x:v>P2026-003</x:v>
      </x:c>
      <x:c r="B4" s="11" t="str">
        <x:v>仓储看板升级</x:v>
      </x:c>
      <x:c r="C4" s="11" t="str">
        <x:v>软件开发</x:v>
      </x:c>
      <x:c r="D4" s="11" t="str">
        <x:v>On-going</x:v>
      </x:c>
      <x:c r="E4" s="11" t="str">
        <x:v>王强</x:v>
      </x:c>
      <x:c r="F4" s="12" t="n">
        <x:v>46054</x:v>
      </x:c>
      <x:c r="G4" s="12" t="n">
        <x:v>46160</x:v>
      </x:c>
      <x:c r="H4" s="13" t="n">
        <x:v>0.61</x:v>
      </x:c>
      <x:c r="I4" s="14" t="n">
        <x:v>35</x:v>
      </x:c>
      <x:c r="J4" s="15" t="n">
        <x:f>G4-F4+1</x:f>
        <x:v>107</x:v>
      </x:c>
      <x:c r="K4" s="11" t="str">
        <x:v>等待现场测试</x:v>
      </x:c>
    </x:row>
    <x:row r="5">
      <x:c r="A5" s="11" t="str">
        <x:v>P2026-004</x:v>
      </x:c>
      <x:c r="B5" s="11" t="str">
        <x:v>工单移动端</x:v>
      </x:c>
      <x:c r="C5" s="11" t="str">
        <x:v>软件开发</x:v>
      </x:c>
      <x:c r="D5" s="11" t="str">
        <x:v>Delay</x:v>
      </x:c>
      <x:c r="E5" s="11" t="str">
        <x:v>赵敏</x:v>
      </x:c>
      <x:c r="F5" s="12" t="n">
        <x:v>46065</x:v>
      </x:c>
      <x:c r="G5" s="12" t="n">
        <x:v>46188</x:v>
      </x:c>
      <x:c r="H5" s="13" t="n">
        <x:v>0.43</x:v>
      </x:c>
      <x:c r="I5" s="14" t="n">
        <x:v>62</x:v>
      </x:c>
      <x:c r="J5" s="15" t="n">
        <x:f>G5-F5+1</x:f>
        <x:v>124</x:v>
      </x:c>
      <x:c r="K5" s="11" t="str">
        <x:v>外部接口延期</x:v>
      </x:c>
    </x:row>
    <x:row r="6">
      <x:c r="A6" s="11" t="str">
        <x:v>P2026-005</x:v>
      </x:c>
      <x:c r="B6" s="11" t="str">
        <x:v>能耗分析系统</x:v>
      </x:c>
      <x:c r="C6" s="11" t="str">
        <x:v>软件开发</x:v>
      </x:c>
      <x:c r="D6" s="11" t="str">
        <x:v>On-going</x:v>
      </x:c>
      <x:c r="E6" s="11" t="str">
        <x:v>陈晨</x:v>
      </x:c>
      <x:c r="F6" s="12" t="n">
        <x:v>46082</x:v>
      </x:c>
      <x:c r="G6" s="12" t="n">
        <x:v>46234</x:v>
      </x:c>
      <x:c r="H6" s="13" t="n">
        <x:v>0.55</x:v>
      </x:c>
      <x:c r="I6" s="14" t="n">
        <x:v>76</x:v>
      </x:c>
      <x:c r="J6" s="15" t="n">
        <x:f>G6-F6+1</x:f>
        <x:v>153</x:v>
      </x:c>
      <x:c r="K6" s="11" t="str">
        <x:v>模型开发中</x:v>
      </x:c>
    </x:row>
    <x:row r="7">
      <x:c r="A7" s="11" t="str">
        <x:v>P2026-006</x:v>
      </x:c>
      <x:c r="B7" s="11" t="str">
        <x:v>安灯事件中心</x:v>
      </x:c>
      <x:c r="C7" s="11" t="str">
        <x:v>软件开发</x:v>
      </x:c>
      <x:c r="D7" s="11" t="str">
        <x:v>Done</x:v>
      </x:c>
      <x:c r="E7" s="11" t="str">
        <x:v>周凯</x:v>
      </x:c>
      <x:c r="F7" s="12" t="n">
        <x:v>46037</x:v>
      </x:c>
      <x:c r="G7" s="12" t="n">
        <x:v>46122</x:v>
      </x:c>
      <x:c r="H7" s="13" t="n">
        <x:v>1</x:v>
      </x:c>
      <x:c r="I7" s="14" t="n">
        <x:v>44</x:v>
      </x:c>
      <x:c r="J7" s="15" t="n">
        <x:f>G7-F7+1</x:f>
        <x:v>86</x:v>
      </x:c>
      <x:c r="K7" s="11" t="str">
        <x:v>已上线</x:v>
      </x:c>
    </x:row>
    <x:row r="8">
      <x:c r="A8" s="11" t="str">
        <x:v>P2026-007</x:v>
      </x:c>
      <x:c r="B8" s="11" t="str">
        <x:v>设备点检小程序</x:v>
      </x:c>
      <x:c r="C8" s="11" t="str">
        <x:v>软件开发</x:v>
      </x:c>
      <x:c r="D8" s="11" t="str">
        <x:v>Pause</x:v>
      </x:c>
      <x:c r="E8" s="11" t="str">
        <x:v>吴桐</x:v>
      </x:c>
      <x:c r="F8" s="12" t="n">
        <x:v>46113</x:v>
      </x:c>
      <x:c r="G8" s="12" t="n">
        <x:v>46265</x:v>
      </x:c>
      <x:c r="H8" s="13" t="n">
        <x:v>0.28</x:v>
      </x:c>
      <x:c r="I8" s="14" t="n">
        <x:v>38</x:v>
      </x:c>
      <x:c r="J8" s="15" t="n">
        <x:f>G8-F8+1</x:f>
        <x:v>153</x:v>
      </x:c>
      <x:c r="K8" s="11" t="str">
        <x:v>需求冻结</x:v>
      </x:c>
    </x:row>
    <x:row r="9">
      <x:c r="A9" s="11" t="str">
        <x:v>P2026-008</x:v>
      </x:c>
      <x:c r="B9" s="11" t="str">
        <x:v>供应商门户</x:v>
      </x:c>
      <x:c r="C9" s="11" t="str">
        <x:v>软件开发</x:v>
      </x:c>
      <x:c r="D9" s="11" t="str">
        <x:v>On-going</x:v>
      </x:c>
      <x:c r="E9" s="11" t="str">
        <x:v>孙悦</x:v>
      </x:c>
      <x:c r="F9" s="12" t="n">
        <x:v>46099</x:v>
      </x:c>
      <x:c r="G9" s="12" t="n">
        <x:v>46280</x:v>
      </x:c>
      <x:c r="H9" s="13" t="n">
        <x:v>0.46</x:v>
      </x:c>
      <x:c r="I9" s="14" t="n">
        <x:v>92</x:v>
      </x:c>
      <x:c r="J9" s="15" t="n">
        <x:f>G9-F9+1</x:f>
        <x:v>182</x:v>
      </x:c>
      <x:c r="K9" s="11" t="str">
        <x:v>开发迭代二</x:v>
      </x:c>
    </x:row>
    <x:row r="10">
      <x:c r="A10" s="11" t="str">
        <x:v>P2026-009</x:v>
      </x:c>
      <x:c r="B10" s="11" t="str">
        <x:v>异常闭环系统</x:v>
      </x:c>
      <x:c r="C10" s="11" t="str">
        <x:v>软件开发</x:v>
      </x:c>
      <x:c r="D10" s="11" t="str">
        <x:v>Done</x:v>
      </x:c>
      <x:c r="E10" s="11" t="str">
        <x:v>郑浩</x:v>
      </x:c>
      <x:c r="F10" s="12" t="n">
        <x:v>46044</x:v>
      </x:c>
      <x:c r="G10" s="12" t="n">
        <x:v>46147</x:v>
      </x:c>
      <x:c r="H10" s="13" t="n">
        <x:v>1</x:v>
      </x:c>
      <x:c r="I10" s="14" t="n">
        <x:v>57</x:v>
      </x:c>
      <x:c r="J10" s="15" t="n">
        <x:f>G10-F10+1</x:f>
        <x:v>104</x:v>
      </x:c>
      <x:c r="K10" s="11" t="str">
        <x:v>已移交运维</x:v>
      </x:c>
    </x:row>
    <x:row r="11">
      <x:c r="A11" s="11" t="str">
        <x:v>P2026-010</x:v>
      </x:c>
      <x:c r="B11" s="11" t="str">
        <x:v>生产日报自动化</x:v>
      </x:c>
      <x:c r="C11" s="11" t="str">
        <x:v>软件开发</x:v>
      </x:c>
      <x:c r="D11" s="11" t="str">
        <x:v>Delay</x:v>
      </x:c>
      <x:c r="E11" s="11" t="str">
        <x:v>刘洋</x:v>
      </x:c>
      <x:c r="F11" s="12" t="n">
        <x:v>46143</x:v>
      </x:c>
      <x:c r="G11" s="12" t="n">
        <x:v>46254</x:v>
      </x:c>
      <x:c r="H11" s="13" t="n">
        <x:v>0.35</x:v>
      </x:c>
      <x:c r="I11" s="14" t="n">
        <x:v>28</x:v>
      </x:c>
      <x:c r="J11" s="15" t="n">
        <x:f>G11-F11+1</x:f>
        <x:v>112</x:v>
      </x:c>
      <x:c r="K11" s="11" t="str">
        <x:v>数据口径调整</x:v>
      </x:c>
    </x:row>
    <x:row r="12">
      <x:c r="A12" s="11" t="str">
        <x:v>P2026-011</x:v>
      </x:c>
      <x:c r="B12" s="11" t="str">
        <x:v>排产优化工具</x:v>
      </x:c>
      <x:c r="C12" s="11" t="str">
        <x:v>软件开发</x:v>
      </x:c>
      <x:c r="D12" s="11" t="str">
        <x:v>On-going</x:v>
      </x:c>
      <x:c r="E12" s="11" t="str">
        <x:v>何欣</x:v>
      </x:c>
      <x:c r="F12" s="12" t="n">
        <x:v>46122</x:v>
      </x:c>
      <x:c r="G12" s="12" t="n">
        <x:v>46325</x:v>
      </x:c>
      <x:c r="H12" s="13" t="n">
        <x:v>0.39</x:v>
      </x:c>
      <x:c r="I12" s="14" t="n">
        <x:v>105</x:v>
      </x:c>
      <x:c r="J12" s="15" t="n">
        <x:f>G12-F12+1</x:f>
        <x:v>204</x:v>
      </x:c>
      <x:c r="K12" s="11" t="str">
        <x:v>算法验证中</x:v>
      </x:c>
    </x:row>
    <x:row r="13">
      <x:c r="A13" s="11" t="str">
        <x:v>P2026-012</x:v>
      </x:c>
      <x:c r="B13" s="11" t="str">
        <x:v>客户投诉分析</x:v>
      </x:c>
      <x:c r="C13" s="11" t="str">
        <x:v>软件开发</x:v>
      </x:c>
      <x:c r="D13" s="11" t="str">
        <x:v>Done</x:v>
      </x:c>
      <x:c r="E13" s="11" t="str">
        <x:v>钱宇</x:v>
      </x:c>
      <x:c r="F13" s="12" t="n">
        <x:v>46073</x:v>
      </x:c>
      <x:c r="G13" s="12" t="n">
        <x:v>46174</x:v>
      </x:c>
      <x:c r="H13" s="13" t="n">
        <x:v>1</x:v>
      </x:c>
      <x:c r="I13" s="14" t="n">
        <x:v>51</x:v>
      </x:c>
      <x:c r="J13" s="15" t="n">
        <x:f>G13-F13+1</x:f>
        <x:v>102</x:v>
      </x:c>
      <x:c r="K13" s="11" t="str">
        <x:v>结项</x:v>
      </x:c>
    </x:row>
    <x:row r="14">
      <x:c r="A14" s="11" t="str">
        <x:v>P2026-013</x:v>
      </x:c>
      <x:c r="B14" s="11" t="str">
        <x:v>MES工艺路线改造</x:v>
      </x:c>
      <x:c r="C14" s="11" t="str">
        <x:v>MES改造</x:v>
      </x:c>
      <x:c r="D14" s="11" t="str">
        <x:v>On-going</x:v>
      </x:c>
      <x:c r="E14" s="11" t="str">
        <x:v>张伟</x:v>
      </x:c>
      <x:c r="F14" s="12" t="n">
        <x:v>46034</x:v>
      </x:c>
      <x:c r="G14" s="12" t="n">
        <x:v>46203</x:v>
      </x:c>
      <x:c r="H14" s="13" t="n">
        <x:v>0.68</x:v>
      </x:c>
      <x:c r="I14" s="14" t="n">
        <x:v>120</x:v>
      </x:c>
      <x:c r="J14" s="15" t="n">
        <x:f>G14-F14+1</x:f>
        <x:v>170</x:v>
      </x:c>
      <x:c r="K14" s="11" t="str">
        <x:v>试点产线运行</x:v>
      </x:c>
    </x:row>
    <x:row r="15">
      <x:c r="A15" s="11" t="str">
        <x:v>P2026-014</x:v>
      </x:c>
      <x:c r="B15" s="11" t="str">
        <x:v>MES报工接口</x:v>
      </x:c>
      <x:c r="C15" s="11" t="str">
        <x:v>MES改造</x:v>
      </x:c>
      <x:c r="D15" s="11" t="str">
        <x:v>Done</x:v>
      </x:c>
      <x:c r="E15" s="11" t="str">
        <x:v>李娜</x:v>
      </x:c>
      <x:c r="F15" s="12" t="n">
        <x:v>46025</x:v>
      </x:c>
      <x:c r="G15" s="12" t="n">
        <x:v>46096</x:v>
      </x:c>
      <x:c r="H15" s="13" t="n">
        <x:v>1</x:v>
      </x:c>
      <x:c r="I15" s="14" t="n">
        <x:v>40</x:v>
      </x:c>
      <x:c r="J15" s="15" t="n">
        <x:f>G15-F15+1</x:f>
        <x:v>72</x:v>
      </x:c>
      <x:c r="K15" s="11" t="str">
        <x:v>已验收</x:v>
      </x:c>
    </x:row>
    <x:row r="16">
      <x:c r="A16" s="11" t="str">
        <x:v>P2026-015</x:v>
      </x:c>
      <x:c r="B16" s="11" t="str">
        <x:v>MES配方管理</x:v>
      </x:c>
      <x:c r="C16" s="11" t="str">
        <x:v>MES改造</x:v>
      </x:c>
      <x:c r="D16" s="11" t="str">
        <x:v>Delay</x:v>
      </x:c>
      <x:c r="E16" s="11" t="str">
        <x:v>王强</x:v>
      </x:c>
      <x:c r="F16" s="12" t="n">
        <x:v>46086</x:v>
      </x:c>
      <x:c r="G16" s="12" t="n">
        <x:v>46249</x:v>
      </x:c>
      <x:c r="H16" s="13" t="n">
        <x:v>0.41</x:v>
      </x:c>
      <x:c r="I16" s="14" t="n">
        <x:v>88</x:v>
      </x:c>
      <x:c r="J16" s="15" t="n">
        <x:f>G16-F16+1</x:f>
        <x:v>164</x:v>
      </x:c>
      <x:c r="K16" s="11" t="str">
        <x:v>设备协议变更</x:v>
      </x:c>
    </x:row>
    <x:row r="17">
      <x:c r="A17" s="11" t="str">
        <x:v>P2026-016</x:v>
      </x:c>
      <x:c r="B17" s="11" t="str">
        <x:v>MES批次追踪</x:v>
      </x:c>
      <x:c r="C17" s="11" t="str">
        <x:v>MES改造</x:v>
      </x:c>
      <x:c r="D17" s="11" t="str">
        <x:v>On-going</x:v>
      </x:c>
      <x:c r="E17" s="11" t="str">
        <x:v>赵敏</x:v>
      </x:c>
      <x:c r="F17" s="12" t="n">
        <x:v>46069</x:v>
      </x:c>
      <x:c r="G17" s="12" t="n">
        <x:v>46223</x:v>
      </x:c>
      <x:c r="H17" s="13" t="n">
        <x:v>0.74</x:v>
      </x:c>
      <x:c r="I17" s="14" t="n">
        <x:v>95</x:v>
      </x:c>
      <x:c r="J17" s="15" t="n">
        <x:f>G17-F17+1</x:f>
        <x:v>155</x:v>
      </x:c>
      <x:c r="K17" s="11" t="str">
        <x:v>压力测试中</x:v>
      </x:c>
    </x:row>
    <x:row r="18">
      <x:c r="A18" s="11" t="str">
        <x:v>P2026-017</x:v>
      </x:c>
      <x:c r="B18" s="11" t="str">
        <x:v>MES电子签名</x:v>
      </x:c>
      <x:c r="C18" s="11" t="str">
        <x:v>MES改造</x:v>
      </x:c>
      <x:c r="D18" s="11" t="str">
        <x:v>Done</x:v>
      </x:c>
      <x:c r="E18" s="11" t="str">
        <x:v>陈晨</x:v>
      </x:c>
      <x:c r="F18" s="12" t="n">
        <x:v>46040</x:v>
      </x:c>
      <x:c r="G18" s="12" t="n">
        <x:v>46137</x:v>
      </x:c>
      <x:c r="H18" s="13" t="n">
        <x:v>1</x:v>
      </x:c>
      <x:c r="I18" s="14" t="n">
        <x:v>53</x:v>
      </x:c>
      <x:c r="J18" s="15" t="n">
        <x:f>G18-F18+1</x:f>
        <x:v>98</x:v>
      </x:c>
      <x:c r="K18" s="11" t="str">
        <x:v>已上线</x:v>
      </x:c>
    </x:row>
    <x:row r="19">
      <x:c r="A19" s="11" t="str">
        <x:v>P2026-018</x:v>
      </x:c>
      <x:c r="B19" s="11" t="str">
        <x:v>MES主数据清理</x:v>
      </x:c>
      <x:c r="C19" s="11" t="str">
        <x:v>MES改造</x:v>
      </x:c>
      <x:c r="D19" s="11" t="str">
        <x:v>Pause</x:v>
      </x:c>
      <x:c r="E19" s="11" t="str">
        <x:v>周凯</x:v>
      </x:c>
      <x:c r="F19" s="12" t="n">
        <x:v>46124</x:v>
      </x:c>
      <x:c r="G19" s="12" t="n">
        <x:v>46275</x:v>
      </x:c>
      <x:c r="H19" s="13" t="n">
        <x:v>0.22</x:v>
      </x:c>
      <x:c r="I19" s="14" t="n">
        <x:v>46</x:v>
      </x:c>
      <x:c r="J19" s="15" t="n">
        <x:f>G19-F19+1</x:f>
        <x:v>152</x:v>
      </x:c>
      <x:c r="K19" s="11" t="str">
        <x:v>等待业务确认</x:v>
      </x:c>
    </x:row>
    <x:row r="20">
      <x:c r="A20" s="11" t="str">
        <x:v>P2026-019</x:v>
      </x:c>
      <x:c r="B20" s="11" t="str">
        <x:v>MES停机管理</x:v>
      </x:c>
      <x:c r="C20" s="11" t="str">
        <x:v>MES改造</x:v>
      </x:c>
      <x:c r="D20" s="11" t="str">
        <x:v>On-going</x:v>
      </x:c>
      <x:c r="E20" s="11" t="str">
        <x:v>吴桐</x:v>
      </x:c>
      <x:c r="F20" s="12" t="n">
        <x:v>46148</x:v>
      </x:c>
      <x:c r="G20" s="12" t="n">
        <x:v>46341</x:v>
      </x:c>
      <x:c r="H20" s="13" t="n">
        <x:v>0.33</x:v>
      </x:c>
      <x:c r="I20" s="14" t="n">
        <x:v>79</x:v>
      </x:c>
      <x:c r="J20" s="15" t="n">
        <x:f>G20-F20+1</x:f>
        <x:v>194</x:v>
      </x:c>
      <x:c r="K20" s="11" t="str">
        <x:v>开发中</x:v>
      </x:c>
    </x:row>
    <x:row r="21">
      <x:c r="A21" s="11" t="str">
        <x:v>P2026-020</x:v>
      </x:c>
      <x:c r="B21" s="11" t="str">
        <x:v>焊缝视觉检测</x:v>
      </x:c>
      <x:c r="C21" s="11" t="str">
        <x:v>视觉改造</x:v>
      </x:c>
      <x:c r="D21" s="11" t="str">
        <x:v>Done</x:v>
      </x:c>
      <x:c r="E21" s="11" t="str">
        <x:v>孙悦</x:v>
      </x:c>
      <x:c r="F21" s="12" t="n">
        <x:v>46031</x:v>
      </x:c>
      <x:c r="G21" s="12" t="n">
        <x:v>46170</x:v>
      </x:c>
      <x:c r="H21" s="13" t="n">
        <x:v>1</x:v>
      </x:c>
      <x:c r="I21" s="14" t="n">
        <x:v>135</x:v>
      </x:c>
      <x:c r="J21" s="15" t="n">
        <x:f>G21-F21+1</x:f>
        <x:v>140</x:v>
      </x:c>
      <x:c r="K21" s="11" t="str">
        <x:v>模型已部署</x:v>
      </x:c>
    </x:row>
    <x:row r="22">
      <x:c r="A22" s="11" t="str">
        <x:v>P2026-021</x:v>
      </x:c>
      <x:c r="B22" s="11" t="str">
        <x:v>包装缺陷识别</x:v>
      </x:c>
      <x:c r="C22" s="11" t="str">
        <x:v>视觉改造</x:v>
      </x:c>
      <x:c r="D22" s="11" t="str">
        <x:v>On-going</x:v>
      </x:c>
      <x:c r="E22" s="11" t="str">
        <x:v>郑浩</x:v>
      </x:c>
      <x:c r="F22" s="12" t="n">
        <x:v>46103</x:v>
      </x:c>
      <x:c r="G22" s="12" t="n">
        <x:v>46264</x:v>
      </x:c>
      <x:c r="H22" s="13" t="n">
        <x:v>0.58</x:v>
      </x:c>
      <x:c r="I22" s="14" t="n">
        <x:v>110</x:v>
      </x:c>
      <x:c r="J22" s="15" t="n">
        <x:f>G22-F22+1</x:f>
        <x:v>162</x:v>
      </x:c>
      <x:c r="K22" s="11" t="str">
        <x:v>采集样本中</x:v>
      </x:c>
    </x:row>
    <x:row r="23">
      <x:c r="A23" s="11" t="str">
        <x:v>P2026-022</x:v>
      </x:c>
      <x:c r="B23" s="11" t="str">
        <x:v>条码识别改造</x:v>
      </x:c>
      <x:c r="C23" s="11" t="str">
        <x:v>视觉改造</x:v>
      </x:c>
      <x:c r="D23" s="11" t="str">
        <x:v>Done</x:v>
      </x:c>
      <x:c r="E23" s="11" t="str">
        <x:v>刘洋</x:v>
      </x:c>
      <x:c r="F23" s="12" t="n">
        <x:v>46058</x:v>
      </x:c>
      <x:c r="G23" s="12" t="n">
        <x:v>46130</x:v>
      </x:c>
      <x:c r="H23" s="13" t="n">
        <x:v>1</x:v>
      </x:c>
      <x:c r="I23" s="14" t="n">
        <x:v>64</x:v>
      </x:c>
      <x:c r="J23" s="15" t="n">
        <x:f>G23-F23+1</x:f>
        <x:v>73</x:v>
      </x:c>
      <x:c r="K23" s="11" t="str">
        <x:v>已验收</x:v>
      </x:c>
    </x:row>
    <x:row r="24">
      <x:c r="A24" s="11" t="str">
        <x:v>P2026-023</x:v>
      </x:c>
      <x:c r="B24" s="11" t="str">
        <x:v>安全穿戴检测</x:v>
      </x:c>
      <x:c r="C24" s="11" t="str">
        <x:v>视觉改造</x:v>
      </x:c>
      <x:c r="D24" s="11" t="str">
        <x:v>Delay</x:v>
      </x:c>
      <x:c r="E24" s="11" t="str">
        <x:v>何欣</x:v>
      </x:c>
      <x:c r="F24" s="12" t="n">
        <x:v>46128</x:v>
      </x:c>
      <x:c r="G24" s="12" t="n">
        <x:v>46295</x:v>
      </x:c>
      <x:c r="H24" s="13" t="n">
        <x:v>0.31</x:v>
      </x:c>
      <x:c r="I24" s="14" t="n">
        <x:v>98</x:v>
      </x:c>
      <x:c r="J24" s="15" t="n">
        <x:f>G24-F24+1</x:f>
        <x:v>168</x:v>
      </x:c>
      <x:c r="K24" s="11" t="str">
        <x:v>误报率优化</x:v>
      </x:c>
    </x:row>
    <x:row r="25">
      <x:c r="A25" s="16" t="str">
        <x:v>P2026-024</x:v>
      </x:c>
      <x:c r="B25" s="16" t="str">
        <x:v>尺寸测量工站</x:v>
      </x:c>
      <x:c r="C25" s="16" t="str">
        <x:v>视觉改造</x:v>
      </x:c>
      <x:c r="D25" s="16" t="str">
        <x:v>Pause</x:v>
      </x:c>
      <x:c r="E25" s="16" t="str">
        <x:v>钱宇</x:v>
      </x:c>
      <x:c r="F25" s="17" t="n">
        <x:v>46152</x:v>
      </x:c>
      <x:c r="G25" s="17" t="n">
        <x:v>46366</x:v>
      </x:c>
      <x:c r="H25" s="18" t="n">
        <x:v>0.19</x:v>
      </x:c>
      <x:c r="I25" s="19" t="n">
        <x:v>142</x:v>
      </x:c>
      <x:c r="J25" s="20" t="n">
        <x:f>G25-F25+1</x:f>
        <x:v>215</x:v>
      </x:c>
      <x:c r="K25" s="16" t="str">
        <x:v>等待设备到货</x:v>
      </x:c>
    </x:row>
  </x:sheetData>
  <x:conditionalFormatting sqref="D2:D25">
    <x:cfRule type="containsText" dxfId="0" priority="1" operator="containsText" text="Done"/>
    <x:cfRule type="containsText" dxfId="1" priority="2" operator="containsText" text="On-going"/>
    <x:cfRule type="containsText" dxfId="2" priority="3" operator="containsText" text="Pause"/>
    <x:cfRule type="containsText" dxfId="3" priority="4" operator="containsText" text="Delay"/>
  </x:conditionalFormatting>
  <x:conditionalFormatting sqref="H2:H25">
    <x:cfRule type="dataBar" priority="5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{9B419F5A-5B5B-5AEE-89A5-315BD5C7C94A}</x14:id>
        </x:ext>
      </x:extLst>
    </x:cfRule>
  </x:conditionalFormatting>
  <x:dataValidations count="2">
    <x:dataValidation type="list" sqref="C2:C49">
      <x:formula1>"软件开发,MES改造,视觉改造"</x:formula1>
    </x:dataValidation>
    <x:dataValidation type="list" sqref="D2:D49">
      <x:formula1>"On-going,Done,Pause,Delay"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a61c61d9c348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9B419F5A-5B5B-5AEE-89A5-315BD5C7C94A}">
            <x14:dataBar gradient="1">
              <x14:cfvo type="min"/>
              <x14:cfvo type="max"/>
              <x14:fillColor rgb="FF14B8A6"/>
            </x14:dataBar>
          </x14:cfRule>
          <xm:sqref>H2:H25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" hidden="0" customWidth="1"/>
    <x:col min="4" max="4" width="16" hidden="0" customWidth="1"/>
    <x:col min="5" max="5" width="16" hidden="0" customWidth="1"/>
  </x:cols>
  <x:sheetData>
    <x:row r="1" ht="24" customHeight="1">
      <x:c r="A1" s="21" t="str">
        <x:v>开发类别</x:v>
      </x:c>
      <x:c r="B1" s="22" t="str">
        <x:v>数量</x:v>
      </x:c>
      <x:c r="D1" s="21" t="str">
        <x:v>状态</x:v>
      </x:c>
      <x:c r="E1" s="22" t="str">
        <x:v>数量</x:v>
      </x:c>
    </x:row>
    <x:row r="2" ht="24" customHeight="1">
      <x:c r="A2" s="23" t="str">
        <x:v>软件开发</x:v>
      </x:c>
      <x:c r="B2" s="24" t="n">
        <x:f>COUNTIF('项目数据'!$C$2:$C$25,A2)</x:f>
        <x:v>12</x:v>
      </x:c>
      <x:c r="D2" s="23" t="str">
        <x:v>On-going</x:v>
      </x:c>
      <x:c r="E2" s="24" t="n">
        <x:f>COUNTIF('项目数据'!$D$2:$D$25,D2)</x:f>
        <x:v>9</x:v>
      </x:c>
    </x:row>
    <x:row r="3" ht="24" customHeight="1">
      <x:c r="A3" s="23" t="str">
        <x:v>MES改造</x:v>
      </x:c>
      <x:c r="B3" s="24" t="n">
        <x:f>COUNTIF('项目数据'!$C$2:$C$25,A3)</x:f>
        <x:v>7</x:v>
      </x:c>
      <x:c r="D3" s="23" t="str">
        <x:v>Done</x:v>
      </x:c>
      <x:c r="E3" s="24" t="n">
        <x:f>COUNTIF('项目数据'!$D$2:$D$25,D3)</x:f>
        <x:v>8</x:v>
      </x:c>
    </x:row>
    <x:row r="4" ht="24" customHeight="1">
      <x:c r="A4" s="25" t="str">
        <x:v>视觉改造</x:v>
      </x:c>
      <x:c r="B4" s="26" t="n">
        <x:f>COUNTIF('项目数据'!$C$2:$C$25,A4)</x:f>
        <x:v>5</x:v>
      </x:c>
      <x:c r="D4" s="23" t="str">
        <x:v>Pause</x:v>
      </x:c>
      <x:c r="E4" s="24" t="n">
        <x:f>COUNTIF('项目数据'!$D$2:$D$25,D4)</x:f>
        <x:v>3</x:v>
      </x:c>
    </x:row>
    <x:row r="5" ht="24" customHeight="1">
      <x:c r="D5" s="25" t="str">
        <x:v>Delay</x:v>
      </x:c>
      <x:c r="E5" s="26" t="n">
        <x:f>COUNTIF('项目数据'!$D$2:$D$25,D5)</x:f>
        <x:v>4</x:v>
      </x:c>
    </x:row>
  </x:sheetData>
  <x:pageMargins left="0.7" right="0.7" top="0.75" bottom="0.75" header="0.3" footer="0.3"/>
</x:worksheet>
</file>